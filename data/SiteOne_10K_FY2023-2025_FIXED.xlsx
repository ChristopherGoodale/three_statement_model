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<sst xmlns="http://schemas.openxmlformats.org/spreadsheetml/2006/main" count="185" uniqueCount="156">
  <si>
    <t xml:space="preserve">SiteOne Landscape Supply — Consolidated Statements of Operations</t>
  </si>
  <si>
    <t xml:space="preserve">Source: SEC EDGAR XBRL R-files — SiteOne Landscape Supply, Inc. (SITE) | CIK 0001650729 | IS &amp; CF: FY2025 10-K Acc# 0001650729-26-000005 R5 / R9 | BS: FY2025 10-K R3 (FY25, FY24) + FY2024 10-K R3 (FY23)</t>
  </si>
  <si>
    <t xml:space="preserve">FY2023 · FY2024 · FY2025  ($ in millions unless noted)</t>
  </si>
  <si>
    <t xml:space="preserve">FY 2023</t>
  </si>
  <si>
    <t xml:space="preserve">FY 2024</t>
  </si>
  <si>
    <t xml:space="preserve">FY 2025</t>
  </si>
  <si>
    <t xml:space="preserve">FY23→24</t>
  </si>
  <si>
    <t xml:space="preserve">FY24→25</t>
  </si>
  <si>
    <t xml:space="preserve">Notes</t>
  </si>
  <si>
    <t xml:space="preserve">Dec 31, 2023</t>
  </si>
  <si>
    <t xml:space="preserve">Dec 29, 2024</t>
  </si>
  <si>
    <t xml:space="preserve">Dec 28, 2025</t>
  </si>
  <si>
    <t xml:space="preserve">YoY Chg</t>
  </si>
  <si>
    <t xml:space="preserve">$ in millions</t>
  </si>
  <si>
    <t xml:space="preserve">NET SALES &amp; GROSS PROFIT</t>
  </si>
  <si>
    <t xml:space="preserve">  Net sales</t>
  </si>
  <si>
    <t xml:space="preserve">  Cost of goods sold</t>
  </si>
  <si>
    <t xml:space="preserve">Gross profit</t>
  </si>
  <si>
    <t xml:space="preserve">Check a: GP = Sales – COGS ✓</t>
  </si>
  <si>
    <t xml:space="preserve">    Gross margin %</t>
  </si>
  <si>
    <t xml:space="preserve">OPERATING INCOME</t>
  </si>
  <si>
    <t xml:space="preserve">  Selling, general and administrative expenses</t>
  </si>
  <si>
    <t xml:space="preserve">  Other income</t>
  </si>
  <si>
    <t xml:space="preserve">Reported line — R5.htm FY2025 10-K</t>
  </si>
  <si>
    <t xml:space="preserve">Operating income</t>
  </si>
  <si>
    <t xml:space="preserve">Check b: OI = GP – SG&amp;A + Other ✓</t>
  </si>
  <si>
    <t xml:space="preserve">    Operating margin %</t>
  </si>
  <si>
    <t xml:space="preserve">INCOME BELOW THE LINE</t>
  </si>
  <si>
    <t xml:space="preserve">  Interest and other non-operating expenses, net</t>
  </si>
  <si>
    <t xml:space="preserve">One line as filed — R5.htm</t>
  </si>
  <si>
    <t xml:space="preserve">Income before income taxes</t>
  </si>
  <si>
    <t xml:space="preserve">  Income tax expense</t>
  </si>
  <si>
    <t xml:space="preserve">Net income</t>
  </si>
  <si>
    <t xml:space="preserve">Check c: NI = Pretax – Tax ✓</t>
  </si>
  <si>
    <t xml:space="preserve">      Net income attributable to non-controlling interest</t>
  </si>
  <si>
    <t xml:space="preserve">      Adjustment of NCI to redemption value</t>
  </si>
  <si>
    <t xml:space="preserve">R5.htm FY2025 10-K — absent in FY23 &amp; FY24</t>
  </si>
  <si>
    <t xml:space="preserve">Net income attributable to SiteOne Landscape Supply, Inc.</t>
  </si>
  <si>
    <t xml:space="preserve">Check d: NI – NCI – Redemption Adj ✓</t>
  </si>
  <si>
    <t xml:space="preserve">    Net margin % (attr. to SiteOne)</t>
  </si>
  <si>
    <t xml:space="preserve">PER SHARE DATA</t>
  </si>
  <si>
    <t xml:space="preserve">  EPS — Basic</t>
  </si>
  <si>
    <t xml:space="preserve">  EPS — Diluted</t>
  </si>
  <si>
    <t xml:space="preserve">  Weighted average shares — Basic (thousands)</t>
  </si>
  <si>
    <t xml:space="preserve">  Weighted average shares — Diluted (thousands)</t>
  </si>
  <si>
    <t xml:space="preserve">SUPPLEMENTAL</t>
  </si>
  <si>
    <t xml:space="preserve">  D&amp;A — PP&amp;E (amortization of finance lease ROU &amp; depreciation)</t>
  </si>
  <si>
    <t xml:space="preserve">  Amortization — software and intangible assets</t>
  </si>
  <si>
    <t xml:space="preserve">Total D&amp;A and amortization</t>
  </si>
  <si>
    <t xml:space="preserve">  Stock-based compensation</t>
  </si>
  <si>
    <t xml:space="preserve">SiteOne Landscape Supply — Consolidated Balance Sheets</t>
  </si>
  <si>
    <t xml:space="preserve">As of: Dec 31, 2023 · Dec 29, 2024 · Dec 28, 2025  ($ in millions)</t>
  </si>
  <si>
    <t xml:space="preserve">ASSETS — CURRENT</t>
  </si>
  <si>
    <t xml:space="preserve">  Cash and cash equivalents</t>
  </si>
  <si>
    <t xml:space="preserve">  Accounts receivable, net</t>
  </si>
  <si>
    <t xml:space="preserve">  Inventories, net</t>
  </si>
  <si>
    <t xml:space="preserve">  Income tax receivable</t>
  </si>
  <si>
    <t xml:space="preserve">  Prepaid expenses and other current assets</t>
  </si>
  <si>
    <t xml:space="preserve">Total current assets</t>
  </si>
  <si>
    <t xml:space="preserve">ASSETS — NON-CURRENT</t>
  </si>
  <si>
    <t xml:space="preserve">  Property and equipment, net</t>
  </si>
  <si>
    <t xml:space="preserve">  Operating lease right-of-use assets, net</t>
  </si>
  <si>
    <t xml:space="preserve">  Goodwill</t>
  </si>
  <si>
    <t xml:space="preserve">  Intangible assets, net</t>
  </si>
  <si>
    <t xml:space="preserve">  Deferred tax assets</t>
  </si>
  <si>
    <t xml:space="preserve">  Other assets</t>
  </si>
  <si>
    <t xml:space="preserve">Total assets</t>
  </si>
  <si>
    <t xml:space="preserve">Check e: TA = TL + Reem. NCI + SE ✓</t>
  </si>
  <si>
    <t xml:space="preserve">LIABILITIES — CURRENT</t>
  </si>
  <si>
    <t xml:space="preserve">  Accounts payable</t>
  </si>
  <si>
    <t xml:space="preserve">  Current portion — finance leases</t>
  </si>
  <si>
    <t xml:space="preserve">  Current portion — operating leases</t>
  </si>
  <si>
    <t xml:space="preserve">  Accrued compensation</t>
  </si>
  <si>
    <t xml:space="preserve">  Current portion — long-term debt</t>
  </si>
  <si>
    <t xml:space="preserve">  Income tax payable</t>
  </si>
  <si>
    <t xml:space="preserve">  Accrued liabilities</t>
  </si>
  <si>
    <t xml:space="preserve">Total current liabilities</t>
  </si>
  <si>
    <t xml:space="preserve">LIABILITIES — NON-CURRENT</t>
  </si>
  <si>
    <t xml:space="preserve">  Finance leases, non-current</t>
  </si>
  <si>
    <t xml:space="preserve">  Operating leases, non-current</t>
  </si>
  <si>
    <t xml:space="preserve">  Long-term debt, non-current</t>
  </si>
  <si>
    <t xml:space="preserve">  Deferred tax liabilities</t>
  </si>
  <si>
    <t xml:space="preserve">  Other long-term liabilities</t>
  </si>
  <si>
    <t xml:space="preserve">Total liabilities</t>
  </si>
  <si>
    <t xml:space="preserve">REDEEMABLE NON-CONTROLLING INTEREST</t>
  </si>
  <si>
    <t xml:space="preserve">  Redeemable non-controlling interest</t>
  </si>
  <si>
    <t xml:space="preserve">STOCKHOLDERS' EQUITY</t>
  </si>
  <si>
    <t xml:space="preserve">  Common stock</t>
  </si>
  <si>
    <t xml:space="preserve">  Additional paid-in capital</t>
  </si>
  <si>
    <t xml:space="preserve">  Retained earnings</t>
  </si>
  <si>
    <t xml:space="preserve">  Accumulated other comprehensive income (loss)</t>
  </si>
  <si>
    <t xml:space="preserve">  Treasury stock</t>
  </si>
  <si>
    <t xml:space="preserve">Total stockholders' equity</t>
  </si>
  <si>
    <t xml:space="preserve">Total liabilities, redeemable NCI and stockholders' equity</t>
  </si>
  <si>
    <t xml:space="preserve">Must equal Total assets above — Check e</t>
  </si>
  <si>
    <t xml:space="preserve">SiteOne Landscape Supply — Consolidated Statements of Cash Flows</t>
  </si>
  <si>
    <t xml:space="preserve">FY2023 · FY2024 · FY2025  ($ in millions)</t>
  </si>
  <si>
    <t xml:space="preserve">CASH FLOWS FROM OPERATING ACTIVITIES</t>
  </si>
  <si>
    <t xml:space="preserve">  Net income</t>
  </si>
  <si>
    <t xml:space="preserve">R9.htm FY2025 10-K</t>
  </si>
  <si>
    <t xml:space="preserve">  Adjustments to reconcile net income to net cash from operations:</t>
  </si>
  <si>
    <t xml:space="preserve">    Amortization of finance lease ROU assets and depreciation</t>
  </si>
  <si>
    <t xml:space="preserve">    Stock-based compensation</t>
  </si>
  <si>
    <t xml:space="preserve">    Amortization of software and intangible assets</t>
  </si>
  <si>
    <t xml:space="preserve">    Amortization of debt related costs</t>
  </si>
  <si>
    <t xml:space="preserve">    Loss on extinguishment of debt</t>
  </si>
  <si>
    <t xml:space="preserve">    (Gain) loss on sale of equipment</t>
  </si>
  <si>
    <t xml:space="preserve">    Deferred income taxes</t>
  </si>
  <si>
    <t xml:space="preserve">    Other</t>
  </si>
  <si>
    <t xml:space="preserve">  Changes in operating assets and liabilities, net of acquisitions:</t>
  </si>
  <si>
    <t xml:space="preserve">    Receivables</t>
  </si>
  <si>
    <t xml:space="preserve">    Inventory</t>
  </si>
  <si>
    <t xml:space="preserve">    Income tax receivable</t>
  </si>
  <si>
    <t xml:space="preserve">    Prepaid expenses and other assets</t>
  </si>
  <si>
    <t xml:space="preserve">    Accounts payable</t>
  </si>
  <si>
    <t xml:space="preserve">    Income tax payable</t>
  </si>
  <si>
    <t xml:space="preserve">    Accrued expenses and other liabilities</t>
  </si>
  <si>
    <t xml:space="preserve">Net Cash Provided By Operating Activities</t>
  </si>
  <si>
    <t xml:space="preserve">Filed: 297.5 / 283.4 / 300.5 — Check f ✓</t>
  </si>
  <si>
    <t xml:space="preserve">CASH FLOWS FROM INVESTING ACTIVITIES</t>
  </si>
  <si>
    <t xml:space="preserve">  Purchases of property and equipment</t>
  </si>
  <si>
    <t xml:space="preserve">  Purchases of intangible assets</t>
  </si>
  <si>
    <t xml:space="preserve">  Acquisitions, net of cash acquired</t>
  </si>
  <si>
    <t xml:space="preserve">  Proceeds from sale of property and equipment</t>
  </si>
  <si>
    <t xml:space="preserve">Net Cash Used In Investing Activities</t>
  </si>
  <si>
    <t xml:space="preserve">Filed: (226.0) / (177.1) / (83.4) — Check f ✓</t>
  </si>
  <si>
    <t xml:space="preserve">CASH FLOWS FROM FINANCING ACTIVITIES</t>
  </si>
  <si>
    <t xml:space="preserve">  Equity proceeds from common stock</t>
  </si>
  <si>
    <t xml:space="preserve">Stock option exercises</t>
  </si>
  <si>
    <t xml:space="preserve">  Repurchases of common shares</t>
  </si>
  <si>
    <t xml:space="preserve">  Distributions to non-controlling interest</t>
  </si>
  <si>
    <t xml:space="preserve">  Borrowings under term loan</t>
  </si>
  <si>
    <t xml:space="preserve">Tranche B term loan</t>
  </si>
  <si>
    <t xml:space="preserve">  Repayments under term loan</t>
  </si>
  <si>
    <t xml:space="preserve">  Borrowings on asset-based credit facilities</t>
  </si>
  <si>
    <t xml:space="preserve">ABL facility</t>
  </si>
  <si>
    <t xml:space="preserve">  Repayments on asset-based credit facilities</t>
  </si>
  <si>
    <t xml:space="preserve">  Payments of debt issuance costs</t>
  </si>
  <si>
    <t xml:space="preserve">  Payments on finance lease obligations</t>
  </si>
  <si>
    <t xml:space="preserve">  Payments of acquisition related contingent obligations</t>
  </si>
  <si>
    <t xml:space="preserve">  Other financing activities</t>
  </si>
  <si>
    <t xml:space="preserve">Incl. taxes paid on vested shares</t>
  </si>
  <si>
    <t xml:space="preserve">Net Cash Used In Financing Activities</t>
  </si>
  <si>
    <t xml:space="preserve">Filed: (18.3) / (80.9) / (134.6) — Check f ✓</t>
  </si>
  <si>
    <t xml:space="preserve">CASH RECONCILIATION</t>
  </si>
  <si>
    <t xml:space="preserve">  Effect of exchange rate on cash</t>
  </si>
  <si>
    <t xml:space="preserve">R9.htm</t>
  </si>
  <si>
    <t xml:space="preserve">Net change in cash</t>
  </si>
  <si>
    <t xml:space="preserve">Checks g: Ops+Inv+Fin+FX = Net Δ Cash</t>
  </si>
  <si>
    <t xml:space="preserve">  Cash and cash equivalents — beginning of period</t>
  </si>
  <si>
    <t xml:space="preserve">FY2023 beginning balance from R9.htm FY2025 10-K</t>
  </si>
  <si>
    <t xml:space="preserve">Cash and cash equivalents — end of period</t>
  </si>
  <si>
    <t xml:space="preserve">Check h: Beg + Net Δ = End; must = BS cash ✓</t>
  </si>
  <si>
    <t xml:space="preserve">SUPPLEMENTAL DISCLOSURES</t>
  </si>
  <si>
    <t xml:space="preserve">  Cash paid for interest</t>
  </si>
  <si>
    <t xml:space="preserve">  Cash paid for income taxes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</si>
</sst>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\(#,##0.0\);\-"/>
    <numFmt numFmtId="166" formatCode="0.0%;\(0.0%\);\-"/>
    <numFmt numFmtId="167" formatCode="\$#,##0.00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70C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BDD7EE"/>
      </patternFill>
    </fill>
    <fill>
      <patternFill patternType="solid">
        <fgColor rgb="FFBDD7EE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E4F0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3"/>
    <col collapsed="false" customWidth="true" hidden="false" outlineLevel="0" max="6" min="5" style="1" width="11"/>
    <col collapsed="false" customWidth="true" hidden="false" outlineLevel="0" max="7" min="7" style="1" width="55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3" t="s">
        <v>1</v>
      </c>
    </row>
    <row r="2" customFormat="false" ht="13.5" hidden="false" customHeight="true" outlineLevel="0" collapsed="false">
      <c r="A2" s="4" t="s">
        <v>2</v>
      </c>
      <c r="B2" s="4"/>
      <c r="C2" s="4"/>
      <c r="D2" s="4"/>
      <c r="E2" s="4"/>
      <c r="F2" s="4"/>
    </row>
    <row r="3" customFormat="false" ht="25.5" hidden="false" customHeight="true" outlineLevel="0" collapsed="false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customFormat="false" ht="19.5" hidden="false" customHeight="true" outlineLevel="0" collapsed="false">
      <c r="A4" s="7"/>
      <c r="B4" s="8" t="s">
        <v>9</v>
      </c>
      <c r="C4" s="8" t="s">
        <v>10</v>
      </c>
      <c r="D4" s="8" t="s">
        <v>11</v>
      </c>
      <c r="E4" s="8" t="s">
        <v>12</v>
      </c>
      <c r="F4" s="8" t="s">
        <v>12</v>
      </c>
      <c r="G4" s="8" t="s">
        <v>13</v>
      </c>
    </row>
    <row r="5" customFormat="false" ht="18" hidden="false" customHeight="true" outlineLevel="0" collapsed="false">
      <c r="A5" s="9" t="s">
        <v>14</v>
      </c>
      <c r="B5" s="9"/>
      <c r="C5" s="9"/>
      <c r="D5" s="9"/>
      <c r="E5" s="9"/>
      <c r="F5" s="9"/>
      <c r="G5" s="10"/>
    </row>
    <row r="6" customFormat="false" ht="15.75" hidden="false" customHeight="true" outlineLevel="0" collapsed="false">
      <c r="A6" s="11" t="s">
        <v>15</v>
      </c>
      <c r="B6" s="12" t="n">
        <v>4301.2</v>
      </c>
      <c r="C6" s="12" t="n">
        <v>4540.6</v>
      </c>
      <c r="D6" s="13" t="n">
        <v>4704.8</v>
      </c>
      <c r="E6" s="13" t="n">
        <v>0.0556588858923093</v>
      </c>
      <c r="F6" s="1" t="n">
        <v>0.0361626216799542</v>
      </c>
    </row>
    <row r="7" customFormat="false" ht="15.75" hidden="false" customHeight="true" outlineLevel="0" collapsed="false">
      <c r="A7" s="11" t="s">
        <v>16</v>
      </c>
      <c r="B7" s="12" t="n">
        <v>2810</v>
      </c>
      <c r="C7" s="12" t="n">
        <v>2980.5</v>
      </c>
      <c r="D7" s="13" t="n">
        <v>3069.6</v>
      </c>
      <c r="E7" s="13" t="n">
        <v>0.0606761565836299</v>
      </c>
      <c r="F7" s="1" t="n">
        <v>0.0298943130347257</v>
      </c>
    </row>
    <row r="8" customFormat="false" ht="15.75" hidden="false" customHeight="true" outlineLevel="0" collapsed="false">
      <c r="A8" s="14" t="s">
        <v>17</v>
      </c>
      <c r="B8" s="15" t="n">
        <f aca="false">B6-B7</f>
        <v>1491.2</v>
      </c>
      <c r="C8" s="15" t="n">
        <f aca="false">C6-C7</f>
        <v>1560.1</v>
      </c>
      <c r="D8" s="15" t="n">
        <f aca="false">D6-D7</f>
        <v>1635.2</v>
      </c>
      <c r="G8" s="16" t="s">
        <v>18</v>
      </c>
    </row>
    <row r="9" customFormat="false" ht="13.5" hidden="false" customHeight="true" outlineLevel="0" collapsed="false">
      <c r="A9" s="17" t="s">
        <v>19</v>
      </c>
      <c r="B9" s="13" t="n">
        <f aca="false">IFERROR(B8/B6,"")</f>
        <v>0.34669394587557</v>
      </c>
      <c r="C9" s="13" t="n">
        <f aca="false">IFERROR(C8/C6,"")</f>
        <v>0.343588953001806</v>
      </c>
      <c r="D9" s="13" t="n">
        <f aca="false">IFERROR(D8/D6,"")</f>
        <v>0.347559938785921</v>
      </c>
    </row>
    <row r="10" customFormat="false" ht="4.5" hidden="false" customHeight="true" outlineLevel="0" collapsed="false"/>
    <row r="11" customFormat="false" ht="18" hidden="false" customHeight="true" outlineLevel="0" collapsed="false">
      <c r="A11" s="9" t="s">
        <v>20</v>
      </c>
      <c r="B11" s="9"/>
      <c r="C11" s="9"/>
      <c r="D11" s="9"/>
      <c r="E11" s="9"/>
      <c r="F11" s="9"/>
      <c r="G11" s="10"/>
    </row>
    <row r="12" customFormat="false" ht="15.75" hidden="false" customHeight="true" outlineLevel="0" collapsed="false">
      <c r="A12" s="11" t="s">
        <v>21</v>
      </c>
      <c r="B12" s="12" t="n">
        <v>1256.6</v>
      </c>
      <c r="C12" s="12" t="n">
        <v>1385.1</v>
      </c>
      <c r="D12" s="13" t="n">
        <v>1415.6</v>
      </c>
      <c r="E12" s="13" t="n">
        <v>0.102260066847048</v>
      </c>
      <c r="F12" s="1" t="n">
        <v>0.0220200707530142</v>
      </c>
    </row>
    <row r="13" customFormat="false" ht="15.75" hidden="false" customHeight="true" outlineLevel="0" collapsed="false">
      <c r="A13" s="11" t="s">
        <v>22</v>
      </c>
      <c r="B13" s="12" t="n">
        <v>15.7</v>
      </c>
      <c r="C13" s="12" t="n">
        <v>17.3</v>
      </c>
      <c r="D13" s="13" t="n">
        <v>18.5</v>
      </c>
      <c r="E13" s="13" t="n">
        <v>0.101910828025478</v>
      </c>
      <c r="F13" s="1" t="n">
        <v>0.0693641618497109</v>
      </c>
      <c r="G13" s="16" t="s">
        <v>23</v>
      </c>
    </row>
    <row r="14" customFormat="false" ht="15.75" hidden="false" customHeight="true" outlineLevel="0" collapsed="false">
      <c r="A14" s="14" t="s">
        <v>24</v>
      </c>
      <c r="B14" s="15" t="n">
        <f aca="false">B8-B12+B13</f>
        <v>250.3</v>
      </c>
      <c r="C14" s="15" t="n">
        <f aca="false">C8-C12+C13</f>
        <v>192.3</v>
      </c>
      <c r="D14" s="15" t="n">
        <f aca="false">D8-D12+D13</f>
        <v>238.1</v>
      </c>
      <c r="G14" s="16" t="s">
        <v>25</v>
      </c>
    </row>
    <row r="15" customFormat="false" ht="13.5" hidden="false" customHeight="true" outlineLevel="0" collapsed="false">
      <c r="A15" s="17" t="s">
        <v>26</v>
      </c>
      <c r="B15" s="13" t="n">
        <f aca="false">IFERROR(B14/B6,"")</f>
        <v>0.0581930624011903</v>
      </c>
      <c r="C15" s="13" t="n">
        <f aca="false">IFERROR(C14/C6,"")</f>
        <v>0.0423512311148307</v>
      </c>
      <c r="D15" s="13" t="n">
        <f aca="false">IFERROR(D14/D6,"")</f>
        <v>0.0506078898146575</v>
      </c>
    </row>
    <row r="16" customFormat="false" ht="4.5" hidden="false" customHeight="true" outlineLevel="0" collapsed="false"/>
    <row r="17" customFormat="false" ht="18" hidden="false" customHeight="true" outlineLevel="0" collapsed="false">
      <c r="A17" s="9" t="s">
        <v>27</v>
      </c>
      <c r="B17" s="9"/>
      <c r="C17" s="9"/>
      <c r="D17" s="9"/>
      <c r="E17" s="9"/>
      <c r="F17" s="9"/>
      <c r="G17" s="10"/>
    </row>
    <row r="18" customFormat="false" ht="15.75" hidden="false" customHeight="true" outlineLevel="0" collapsed="false">
      <c r="A18" s="11" t="s">
        <v>28</v>
      </c>
      <c r="B18" s="12" t="n">
        <v>27.1</v>
      </c>
      <c r="C18" s="12" t="n">
        <v>31.9</v>
      </c>
      <c r="D18" s="13" t="n">
        <v>35</v>
      </c>
      <c r="E18" s="13" t="n">
        <v>0.177121771217712</v>
      </c>
      <c r="F18" s="1" t="n">
        <v>0.09717868338558</v>
      </c>
      <c r="G18" s="16" t="s">
        <v>29</v>
      </c>
    </row>
    <row r="19" customFormat="false" ht="15.75" hidden="false" customHeight="true" outlineLevel="0" collapsed="false">
      <c r="A19" s="14" t="s">
        <v>30</v>
      </c>
      <c r="B19" s="15" t="n">
        <f aca="false">B14-B18</f>
        <v>223.2</v>
      </c>
      <c r="C19" s="15" t="n">
        <f aca="false">C14-C18</f>
        <v>160.4</v>
      </c>
      <c r="D19" s="15" t="n">
        <f aca="false">D14-D18</f>
        <v>203.1</v>
      </c>
    </row>
    <row r="20" customFormat="false" ht="15.75" hidden="false" customHeight="true" outlineLevel="0" collapsed="false">
      <c r="A20" s="11" t="s">
        <v>31</v>
      </c>
      <c r="B20" s="12" t="n">
        <v>49.8</v>
      </c>
      <c r="C20" s="12" t="n">
        <v>36</v>
      </c>
      <c r="D20" s="13" t="n">
        <v>45.7</v>
      </c>
      <c r="E20" s="13" t="n">
        <v>-0.27710843373494</v>
      </c>
      <c r="F20" s="1" t="n">
        <v>0.269444444444445</v>
      </c>
    </row>
    <row r="21" customFormat="false" ht="15.75" hidden="false" customHeight="true" outlineLevel="0" collapsed="false">
      <c r="A21" s="14" t="s">
        <v>32</v>
      </c>
      <c r="B21" s="15" t="n">
        <f aca="false">B19-B20</f>
        <v>173.4</v>
      </c>
      <c r="C21" s="15" t="n">
        <f aca="false">C19-C20</f>
        <v>124.4</v>
      </c>
      <c r="D21" s="15" t="n">
        <f aca="false">D19-D20</f>
        <v>157.4</v>
      </c>
      <c r="G21" s="16" t="s">
        <v>33</v>
      </c>
    </row>
    <row r="22" customFormat="false" ht="15.75" hidden="false" customHeight="true" outlineLevel="0" collapsed="false">
      <c r="A22" s="11" t="s">
        <v>34</v>
      </c>
      <c r="B22" s="12" t="n">
        <v>0</v>
      </c>
      <c r="C22" s="12" t="n">
        <v>0.8</v>
      </c>
      <c r="D22" s="13" t="n">
        <v>2</v>
      </c>
      <c r="E22" s="13" t="n">
        <v>1.5</v>
      </c>
    </row>
    <row r="23" customFormat="false" ht="15.75" hidden="false" customHeight="true" outlineLevel="0" collapsed="false">
      <c r="A23" s="11" t="s">
        <v>35</v>
      </c>
      <c r="B23" s="12" t="n">
        <v>0</v>
      </c>
      <c r="C23" s="12" t="n">
        <v>0</v>
      </c>
      <c r="D23" s="13" t="n">
        <v>3.6</v>
      </c>
      <c r="E23" s="13"/>
      <c r="G23" s="16" t="s">
        <v>36</v>
      </c>
    </row>
    <row r="24" customFormat="false" ht="15.75" hidden="false" customHeight="true" outlineLevel="0" collapsed="false">
      <c r="A24" s="18" t="s">
        <v>37</v>
      </c>
      <c r="B24" s="19" t="n">
        <f aca="false">B21-B22-B23</f>
        <v>173.4</v>
      </c>
      <c r="C24" s="19" t="n">
        <f aca="false">C21-C22-C23</f>
        <v>123.6</v>
      </c>
      <c r="D24" s="19" t="n">
        <f aca="false">D21-D22-D23</f>
        <v>151.8</v>
      </c>
      <c r="G24" s="16" t="s">
        <v>38</v>
      </c>
    </row>
    <row r="25" customFormat="false" ht="13.5" hidden="false" customHeight="true" outlineLevel="0" collapsed="false">
      <c r="A25" s="17" t="s">
        <v>39</v>
      </c>
      <c r="B25" s="13" t="n">
        <f aca="false">IFERROR(B24/B6,"")</f>
        <v>0.0403143308844043</v>
      </c>
      <c r="C25" s="13" t="n">
        <f aca="false">IFERROR(C24/C6,"")</f>
        <v>0.0272210721050082</v>
      </c>
      <c r="D25" s="13" t="n">
        <f aca="false">IFERROR(D24/D6,"")</f>
        <v>0.0322649209318144</v>
      </c>
    </row>
    <row r="26" customFormat="false" ht="4.5" hidden="false" customHeight="true" outlineLevel="0" collapsed="false"/>
    <row r="27" customFormat="false" ht="18" hidden="false" customHeight="true" outlineLevel="0" collapsed="false">
      <c r="A27" s="9" t="s">
        <v>40</v>
      </c>
      <c r="B27" s="9"/>
      <c r="C27" s="9"/>
      <c r="D27" s="9"/>
      <c r="E27" s="9"/>
      <c r="F27" s="9"/>
      <c r="G27" s="10"/>
    </row>
    <row r="28" customFormat="false" ht="15.75" hidden="false" customHeight="true" outlineLevel="0" collapsed="false">
      <c r="A28" s="11" t="s">
        <v>41</v>
      </c>
      <c r="B28" s="20" t="n">
        <v>3.84</v>
      </c>
      <c r="C28" s="20" t="n">
        <v>2.73</v>
      </c>
      <c r="D28" s="20" t="n">
        <v>3.39</v>
      </c>
    </row>
    <row r="29" customFormat="false" ht="15.75" hidden="false" customHeight="true" outlineLevel="0" collapsed="false">
      <c r="A29" s="11" t="s">
        <v>42</v>
      </c>
      <c r="B29" s="20" t="n">
        <v>3.8</v>
      </c>
      <c r="C29" s="20" t="n">
        <v>2.71</v>
      </c>
      <c r="D29" s="20" t="n">
        <v>3.37</v>
      </c>
    </row>
    <row r="30" customFormat="false" ht="15.75" hidden="false" customHeight="true" outlineLevel="0" collapsed="false">
      <c r="A30" s="11" t="s">
        <v>43</v>
      </c>
      <c r="B30" s="21" t="n">
        <v>45146</v>
      </c>
      <c r="C30" s="21" t="n">
        <v>45293</v>
      </c>
      <c r="D30" s="21" t="n">
        <v>44831</v>
      </c>
    </row>
    <row r="31" customFormat="false" ht="15.75" hidden="false" customHeight="true" outlineLevel="0" collapsed="false">
      <c r="A31" s="11" t="s">
        <v>44</v>
      </c>
      <c r="B31" s="21" t="n">
        <v>45506</v>
      </c>
      <c r="C31" s="21" t="n">
        <v>45620</v>
      </c>
      <c r="D31" s="21" t="n">
        <v>45083</v>
      </c>
    </row>
    <row r="32" customFormat="false" ht="4.5" hidden="false" customHeight="true" outlineLevel="0" collapsed="false"/>
    <row r="33" customFormat="false" ht="18" hidden="false" customHeight="true" outlineLevel="0" collapsed="false">
      <c r="A33" s="9" t="s">
        <v>45</v>
      </c>
      <c r="B33" s="9"/>
      <c r="C33" s="9"/>
      <c r="D33" s="9"/>
      <c r="E33" s="9"/>
      <c r="F33" s="9"/>
      <c r="G33" s="10"/>
    </row>
    <row r="34" customFormat="false" ht="15.75" hidden="false" customHeight="true" outlineLevel="0" collapsed="false">
      <c r="A34" s="11" t="s">
        <v>46</v>
      </c>
      <c r="B34" s="12" t="n">
        <v>64.1</v>
      </c>
      <c r="C34" s="12" t="n">
        <v>75.3</v>
      </c>
      <c r="D34" s="13" t="n">
        <v>80.7</v>
      </c>
      <c r="E34" s="13" t="n">
        <v>0.174726989079563</v>
      </c>
      <c r="F34" s="1" t="n">
        <v>0.0717131474103586</v>
      </c>
    </row>
    <row r="35" customFormat="false" ht="15.75" hidden="false" customHeight="true" outlineLevel="0" collapsed="false">
      <c r="A35" s="11" t="s">
        <v>47</v>
      </c>
      <c r="B35" s="12" t="n">
        <v>63.6</v>
      </c>
      <c r="C35" s="12" t="n">
        <v>63.7</v>
      </c>
      <c r="D35" s="13" t="n">
        <v>60.1</v>
      </c>
      <c r="E35" s="13" t="n">
        <v>0.00157232704402518</v>
      </c>
      <c r="F35" s="1" t="n">
        <v>-0.0565149136577708</v>
      </c>
    </row>
    <row r="36" customFormat="false" ht="15.75" hidden="false" customHeight="true" outlineLevel="0" collapsed="false">
      <c r="A36" s="14" t="s">
        <v>48</v>
      </c>
      <c r="B36" s="15" t="n">
        <f aca="false">B34+B35</f>
        <v>127.7</v>
      </c>
      <c r="C36" s="15" t="n">
        <f aca="false">C34+C35</f>
        <v>139</v>
      </c>
      <c r="D36" s="15" t="n">
        <f aca="false">D34+D35</f>
        <v>140.8</v>
      </c>
    </row>
    <row r="37" customFormat="false" ht="15.75" hidden="false" customHeight="true" outlineLevel="0" collapsed="false">
      <c r="A37" s="11" t="s">
        <v>49</v>
      </c>
      <c r="B37" s="12" t="n">
        <v>25.7</v>
      </c>
      <c r="C37" s="12" t="n">
        <v>25</v>
      </c>
      <c r="D37" s="13" t="n">
        <v>27</v>
      </c>
      <c r="E37" s="13" t="n">
        <v>-0.0272373540856031</v>
      </c>
      <c r="F37" s="1" t="n">
        <v>0.08</v>
      </c>
    </row>
  </sheetData>
  <mergeCells count="7">
    <mergeCell ref="A1:F1"/>
    <mergeCell ref="A2:F2"/>
    <mergeCell ref="A5:F5"/>
    <mergeCell ref="A11:F11"/>
    <mergeCell ref="A17:F17"/>
    <mergeCell ref="A27:F27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3"/>
    <col collapsed="false" customWidth="true" hidden="false" outlineLevel="0" max="6" min="5" style="1" width="11"/>
    <col collapsed="false" customWidth="true" hidden="false" outlineLevel="0" max="7" min="7" style="1" width="55"/>
  </cols>
  <sheetData>
    <row r="1" customFormat="false" ht="27.75" hidden="false" customHeight="true" outlineLevel="0" collapsed="false">
      <c r="A1" s="2" t="s">
        <v>50</v>
      </c>
      <c r="B1" s="2"/>
      <c r="C1" s="2"/>
      <c r="D1" s="2"/>
      <c r="E1" s="2"/>
      <c r="F1" s="2"/>
      <c r="G1" s="3" t="s">
        <v>1</v>
      </c>
    </row>
    <row r="2" customFormat="false" ht="13.5" hidden="false" customHeight="true" outlineLevel="0" collapsed="false">
      <c r="A2" s="4" t="s">
        <v>51</v>
      </c>
      <c r="B2" s="4"/>
      <c r="C2" s="4"/>
      <c r="D2" s="4"/>
      <c r="E2" s="4"/>
      <c r="F2" s="4"/>
    </row>
    <row r="3" customFormat="false" ht="25.5" hidden="false" customHeight="true" outlineLevel="0" collapsed="false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customFormat="false" ht="19.5" hidden="false" customHeight="true" outlineLevel="0" collapsed="false">
      <c r="A4" s="7"/>
      <c r="B4" s="8" t="s">
        <v>9</v>
      </c>
      <c r="C4" s="8" t="s">
        <v>10</v>
      </c>
      <c r="D4" s="8" t="s">
        <v>11</v>
      </c>
      <c r="E4" s="8" t="s">
        <v>12</v>
      </c>
      <c r="F4" s="8" t="s">
        <v>12</v>
      </c>
      <c r="G4" s="8" t="s">
        <v>13</v>
      </c>
    </row>
    <row r="5" customFormat="false" ht="18" hidden="false" customHeight="true" outlineLevel="0" collapsed="false">
      <c r="A5" s="9" t="s">
        <v>52</v>
      </c>
      <c r="B5" s="9"/>
      <c r="C5" s="9"/>
      <c r="D5" s="9"/>
      <c r="E5" s="9"/>
      <c r="F5" s="9"/>
      <c r="G5" s="10"/>
    </row>
    <row r="6" customFormat="false" ht="15.75" hidden="false" customHeight="true" outlineLevel="0" collapsed="false">
      <c r="A6" s="11" t="s">
        <v>53</v>
      </c>
      <c r="B6" s="12" t="n">
        <v>82.5</v>
      </c>
      <c r="C6" s="12" t="n">
        <v>107.1</v>
      </c>
      <c r="D6" s="13" t="n">
        <v>190.6</v>
      </c>
      <c r="E6" s="13" t="n">
        <v>0.298181818181818</v>
      </c>
      <c r="F6" s="1" t="n">
        <v>0.779645191409897</v>
      </c>
    </row>
    <row r="7" customFormat="false" ht="15.75" hidden="false" customHeight="true" outlineLevel="0" collapsed="false">
      <c r="A7" s="11" t="s">
        <v>54</v>
      </c>
      <c r="B7" s="12" t="n">
        <v>490.6</v>
      </c>
      <c r="C7" s="12" t="n">
        <v>547.1</v>
      </c>
      <c r="D7" s="13" t="n">
        <v>546.8</v>
      </c>
      <c r="E7" s="13" t="n">
        <v>0.115165103954342</v>
      </c>
      <c r="F7" s="1" t="n">
        <v>-0.00054834582343277</v>
      </c>
    </row>
    <row r="8" customFormat="false" ht="15.75" hidden="false" customHeight="true" outlineLevel="0" collapsed="false">
      <c r="A8" s="11" t="s">
        <v>55</v>
      </c>
      <c r="B8" s="12" t="n">
        <v>771.2</v>
      </c>
      <c r="C8" s="12" t="n">
        <v>827.2</v>
      </c>
      <c r="D8" s="13" t="n">
        <v>876.5</v>
      </c>
      <c r="E8" s="13" t="n">
        <v>0.0726141078838174</v>
      </c>
      <c r="F8" s="1" t="n">
        <v>0.0595986460348162</v>
      </c>
    </row>
    <row r="9" customFormat="false" ht="15.75" hidden="false" customHeight="true" outlineLevel="0" collapsed="false">
      <c r="A9" s="11" t="s">
        <v>56</v>
      </c>
      <c r="B9" s="12" t="n">
        <v>0</v>
      </c>
      <c r="C9" s="12" t="n">
        <v>12.3</v>
      </c>
      <c r="D9" s="13" t="n">
        <v>22.4</v>
      </c>
      <c r="E9" s="13" t="n">
        <v>0.821138211382114</v>
      </c>
    </row>
    <row r="10" customFormat="false" ht="15.75" hidden="false" customHeight="true" outlineLevel="0" collapsed="false">
      <c r="A10" s="11" t="s">
        <v>57</v>
      </c>
      <c r="B10" s="12" t="n">
        <v>61</v>
      </c>
      <c r="C10" s="12" t="n">
        <v>55.9</v>
      </c>
      <c r="D10" s="13" t="n">
        <v>62.5</v>
      </c>
      <c r="E10" s="13" t="n">
        <v>-0.0836065573770492</v>
      </c>
      <c r="F10" s="1" t="n">
        <v>0.118067978533095</v>
      </c>
    </row>
    <row r="11" customFormat="false" ht="15.75" hidden="false" customHeight="true" outlineLevel="0" collapsed="false">
      <c r="A11" s="14" t="s">
        <v>58</v>
      </c>
      <c r="B11" s="15" t="n">
        <f aca="false">SUM(B6:B10)</f>
        <v>1405.3</v>
      </c>
      <c r="C11" s="15" t="n">
        <f aca="false">SUM(C6:C10)</f>
        <v>1549.6</v>
      </c>
      <c r="D11" s="15" t="n">
        <f aca="false">SUM(D6:D10)</f>
        <v>1698.8</v>
      </c>
    </row>
    <row r="12" customFormat="false" ht="4.5" hidden="false" customHeight="true" outlineLevel="0" collapsed="false"/>
    <row r="13" customFormat="false" ht="18" hidden="false" customHeight="true" outlineLevel="0" collapsed="false">
      <c r="A13" s="9" t="s">
        <v>59</v>
      </c>
      <c r="B13" s="9"/>
      <c r="C13" s="9"/>
      <c r="D13" s="9"/>
      <c r="E13" s="9"/>
      <c r="F13" s="9"/>
      <c r="G13" s="10"/>
    </row>
    <row r="14" customFormat="false" ht="15.75" hidden="false" customHeight="true" outlineLevel="0" collapsed="false">
      <c r="A14" s="11" t="s">
        <v>60</v>
      </c>
      <c r="B14" s="12" t="n">
        <v>249.4</v>
      </c>
      <c r="C14" s="12" t="n">
        <v>292.1</v>
      </c>
      <c r="D14" s="13" t="n">
        <v>295.4</v>
      </c>
      <c r="E14" s="13" t="n">
        <v>0.17121090617482</v>
      </c>
      <c r="F14" s="1" t="n">
        <v>0.0112975008558711</v>
      </c>
    </row>
    <row r="15" customFormat="false" ht="15.75" hidden="false" customHeight="true" outlineLevel="0" collapsed="false">
      <c r="A15" s="11" t="s">
        <v>61</v>
      </c>
      <c r="B15" s="12" t="n">
        <v>388.9</v>
      </c>
      <c r="C15" s="12" t="n">
        <v>415.3</v>
      </c>
      <c r="D15" s="13" t="n">
        <v>439.7</v>
      </c>
      <c r="E15" s="13" t="n">
        <v>0.067883774749293</v>
      </c>
      <c r="F15" s="1" t="n">
        <v>0.0587527088851432</v>
      </c>
    </row>
    <row r="16" customFormat="false" ht="15.75" hidden="false" customHeight="true" outlineLevel="0" collapsed="false">
      <c r="A16" s="11" t="s">
        <v>62</v>
      </c>
      <c r="B16" s="12" t="n">
        <v>485.5</v>
      </c>
      <c r="C16" s="12" t="n">
        <v>518.1</v>
      </c>
      <c r="D16" s="13" t="n">
        <v>530.4</v>
      </c>
      <c r="E16" s="13" t="n">
        <v>0.0671472708547889</v>
      </c>
      <c r="F16" s="1" t="n">
        <v>0.0237405906195714</v>
      </c>
    </row>
    <row r="17" customFormat="false" ht="15.75" hidden="false" customHeight="true" outlineLevel="0" collapsed="false">
      <c r="A17" s="11" t="s">
        <v>63</v>
      </c>
      <c r="B17" s="12" t="n">
        <v>280.8</v>
      </c>
      <c r="C17" s="12" t="n">
        <v>261</v>
      </c>
      <c r="D17" s="13" t="n">
        <v>220</v>
      </c>
      <c r="E17" s="13" t="n">
        <v>-0.0705128205128206</v>
      </c>
      <c r="F17" s="1" t="n">
        <v>-0.157088122605364</v>
      </c>
    </row>
    <row r="18" customFormat="false" ht="15.75" hidden="false" customHeight="true" outlineLevel="0" collapsed="false">
      <c r="A18" s="11" t="s">
        <v>64</v>
      </c>
      <c r="B18" s="12" t="n">
        <v>5.3</v>
      </c>
      <c r="C18" s="12" t="n">
        <v>18.5</v>
      </c>
      <c r="D18" s="13" t="n">
        <v>14.7</v>
      </c>
      <c r="E18" s="13" t="n">
        <v>2.49056603773585</v>
      </c>
      <c r="F18" s="1" t="n">
        <v>-0.205405405405405</v>
      </c>
    </row>
    <row r="19" customFormat="false" ht="15.75" hidden="false" customHeight="true" outlineLevel="0" collapsed="false">
      <c r="A19" s="11" t="s">
        <v>65</v>
      </c>
      <c r="B19" s="12" t="n">
        <v>13.7</v>
      </c>
      <c r="C19" s="12" t="n">
        <v>16.2</v>
      </c>
      <c r="D19" s="13" t="n">
        <v>20.6</v>
      </c>
      <c r="E19" s="13" t="n">
        <v>0.182481751824818</v>
      </c>
      <c r="F19" s="1" t="n">
        <v>0.271604938271605</v>
      </c>
    </row>
    <row r="20" customFormat="false" ht="15.75" hidden="false" customHeight="true" outlineLevel="0" collapsed="false">
      <c r="A20" s="18" t="s">
        <v>66</v>
      </c>
      <c r="B20" s="19" t="n">
        <f aca="false">B11+SUM(B14:B19)</f>
        <v>2828.9</v>
      </c>
      <c r="C20" s="19" t="n">
        <f aca="false">C11+SUM(C14:C19)</f>
        <v>3070.8</v>
      </c>
      <c r="D20" s="19" t="n">
        <f aca="false">D11+SUM(D14:D19)</f>
        <v>3219.6</v>
      </c>
      <c r="G20" s="16" t="s">
        <v>67</v>
      </c>
    </row>
    <row r="21" customFormat="false" ht="4.5" hidden="false" customHeight="true" outlineLevel="0" collapsed="false"/>
    <row r="22" customFormat="false" ht="18" hidden="false" customHeight="true" outlineLevel="0" collapsed="false">
      <c r="A22" s="9" t="s">
        <v>68</v>
      </c>
      <c r="B22" s="9"/>
      <c r="C22" s="9"/>
      <c r="D22" s="9"/>
      <c r="E22" s="9"/>
      <c r="F22" s="9"/>
      <c r="G22" s="10"/>
    </row>
    <row r="23" customFormat="false" ht="15.75" hidden="false" customHeight="true" outlineLevel="0" collapsed="false">
      <c r="A23" s="11" t="s">
        <v>69</v>
      </c>
      <c r="B23" s="12" t="n">
        <v>270.8</v>
      </c>
      <c r="C23" s="12" t="n">
        <v>315.5</v>
      </c>
      <c r="D23" s="13" t="n">
        <v>310.8</v>
      </c>
      <c r="E23" s="13" t="n">
        <v>0.16506646971935</v>
      </c>
      <c r="F23" s="1" t="n">
        <v>-0.0148969889064976</v>
      </c>
    </row>
    <row r="24" customFormat="false" ht="15.75" hidden="false" customHeight="true" outlineLevel="0" collapsed="false">
      <c r="A24" s="11" t="s">
        <v>70</v>
      </c>
      <c r="B24" s="12" t="n">
        <v>21.8</v>
      </c>
      <c r="C24" s="12" t="n">
        <v>29.7</v>
      </c>
      <c r="D24" s="13" t="n">
        <v>33.2</v>
      </c>
      <c r="E24" s="13" t="n">
        <v>0.362385321100917</v>
      </c>
      <c r="F24" s="1" t="n">
        <v>0.117845117845118</v>
      </c>
    </row>
    <row r="25" customFormat="false" ht="15.75" hidden="false" customHeight="true" outlineLevel="0" collapsed="false">
      <c r="A25" s="11" t="s">
        <v>71</v>
      </c>
      <c r="B25" s="12" t="n">
        <v>83.6</v>
      </c>
      <c r="C25" s="12" t="n">
        <v>90.2</v>
      </c>
      <c r="D25" s="13" t="n">
        <v>97.3</v>
      </c>
      <c r="E25" s="13" t="n">
        <v>0.0789473684210527</v>
      </c>
      <c r="F25" s="1" t="n">
        <v>0.0787139689578713</v>
      </c>
    </row>
    <row r="26" customFormat="false" ht="15.75" hidden="false" customHeight="true" outlineLevel="0" collapsed="false">
      <c r="A26" s="11" t="s">
        <v>72</v>
      </c>
      <c r="B26" s="12" t="n">
        <v>74.2</v>
      </c>
      <c r="C26" s="12" t="n">
        <v>70.9</v>
      </c>
      <c r="D26" s="13" t="n">
        <v>104.6</v>
      </c>
      <c r="E26" s="13" t="n">
        <v>-0.0444743935309973</v>
      </c>
      <c r="F26" s="1" t="n">
        <v>0.475317348377997</v>
      </c>
    </row>
    <row r="27" customFormat="false" ht="15.75" hidden="false" customHeight="true" outlineLevel="0" collapsed="false">
      <c r="A27" s="11" t="s">
        <v>73</v>
      </c>
      <c r="B27" s="12" t="n">
        <v>5.3</v>
      </c>
      <c r="C27" s="12" t="n">
        <v>4.3</v>
      </c>
      <c r="D27" s="13" t="n">
        <v>3.9</v>
      </c>
      <c r="E27" s="13" t="n">
        <v>-0.188679245283019</v>
      </c>
      <c r="F27" s="1" t="n">
        <v>-0.0930232558139535</v>
      </c>
    </row>
    <row r="28" customFormat="false" ht="15.75" hidden="false" customHeight="true" outlineLevel="0" collapsed="false">
      <c r="A28" s="11" t="s">
        <v>74</v>
      </c>
      <c r="B28" s="12" t="n">
        <v>8</v>
      </c>
      <c r="C28" s="12" t="n">
        <v>0</v>
      </c>
      <c r="D28" s="13" t="n">
        <v>0</v>
      </c>
      <c r="E28" s="13" t="n">
        <v>-1</v>
      </c>
    </row>
    <row r="29" customFormat="false" ht="15.75" hidden="false" customHeight="true" outlineLevel="0" collapsed="false">
      <c r="A29" s="11" t="s">
        <v>75</v>
      </c>
      <c r="B29" s="12" t="n">
        <v>114.6</v>
      </c>
      <c r="C29" s="12" t="n">
        <v>130.2</v>
      </c>
      <c r="D29" s="13" t="n">
        <v>137</v>
      </c>
      <c r="E29" s="13" t="n">
        <v>0.136125654450262</v>
      </c>
      <c r="F29" s="1" t="n">
        <v>0.0522273425499233</v>
      </c>
    </row>
    <row r="30" customFormat="false" ht="15.75" hidden="false" customHeight="true" outlineLevel="0" collapsed="false">
      <c r="A30" s="14" t="s">
        <v>76</v>
      </c>
      <c r="B30" s="15" t="n">
        <f aca="false">SUM(B23:B29)</f>
        <v>578.3</v>
      </c>
      <c r="C30" s="15" t="n">
        <f aca="false">SUM(C23:C29)</f>
        <v>640.8</v>
      </c>
      <c r="D30" s="15" t="n">
        <f aca="false">SUM(D23:D29)</f>
        <v>686.8</v>
      </c>
    </row>
    <row r="31" customFormat="false" ht="4.5" hidden="false" customHeight="true" outlineLevel="0" collapsed="false"/>
    <row r="32" customFormat="false" ht="18" hidden="false" customHeight="true" outlineLevel="0" collapsed="false">
      <c r="A32" s="9" t="s">
        <v>77</v>
      </c>
      <c r="B32" s="9"/>
      <c r="C32" s="9"/>
      <c r="D32" s="9"/>
      <c r="E32" s="9"/>
      <c r="F32" s="9"/>
      <c r="G32" s="10"/>
    </row>
    <row r="33" customFormat="false" ht="15.75" hidden="false" customHeight="true" outlineLevel="0" collapsed="false">
      <c r="A33" s="11" t="s">
        <v>78</v>
      </c>
      <c r="B33" s="12" t="n">
        <v>69.8</v>
      </c>
      <c r="C33" s="12" t="n">
        <v>100.9</v>
      </c>
      <c r="D33" s="13" t="n">
        <v>101.6</v>
      </c>
      <c r="E33" s="13" t="n">
        <v>0.445558739255015</v>
      </c>
      <c r="F33" s="1" t="n">
        <v>0.00693756194251723</v>
      </c>
    </row>
    <row r="34" customFormat="false" ht="15.75" hidden="false" customHeight="true" outlineLevel="0" collapsed="false">
      <c r="A34" s="11" t="s">
        <v>79</v>
      </c>
      <c r="B34" s="12" t="n">
        <v>313.3</v>
      </c>
      <c r="C34" s="12" t="n">
        <v>342.3</v>
      </c>
      <c r="D34" s="13" t="n">
        <v>362.5</v>
      </c>
      <c r="E34" s="13" t="n">
        <v>0.0925630386211299</v>
      </c>
      <c r="F34" s="1" t="n">
        <v>0.0590125620800467</v>
      </c>
    </row>
    <row r="35" customFormat="false" ht="15.75" hidden="false" customHeight="true" outlineLevel="0" collapsed="false">
      <c r="A35" s="11" t="s">
        <v>80</v>
      </c>
      <c r="B35" s="12" t="n">
        <v>367.6</v>
      </c>
      <c r="C35" s="12" t="n">
        <v>383.9</v>
      </c>
      <c r="D35" s="13" t="n">
        <v>381.5</v>
      </c>
      <c r="E35" s="13" t="n">
        <v>0.0443416757344939</v>
      </c>
      <c r="F35" s="1" t="n">
        <v>-0.00625162802813227</v>
      </c>
    </row>
    <row r="36" customFormat="false" ht="15.75" hidden="false" customHeight="true" outlineLevel="0" collapsed="false">
      <c r="A36" s="11" t="s">
        <v>81</v>
      </c>
      <c r="B36" s="12" t="n">
        <v>2.3</v>
      </c>
      <c r="C36" s="12" t="n">
        <v>0</v>
      </c>
      <c r="D36" s="13" t="n">
        <v>0</v>
      </c>
      <c r="E36" s="13" t="n">
        <v>-1</v>
      </c>
    </row>
    <row r="37" customFormat="false" ht="15.75" hidden="false" customHeight="true" outlineLevel="0" collapsed="false">
      <c r="A37" s="11" t="s">
        <v>82</v>
      </c>
      <c r="B37" s="12" t="n">
        <v>11.5</v>
      </c>
      <c r="C37" s="12" t="n">
        <v>11</v>
      </c>
      <c r="D37" s="13" t="n">
        <v>4</v>
      </c>
      <c r="E37" s="13" t="n">
        <v>-0.0434782608695652</v>
      </c>
      <c r="F37" s="1" t="n">
        <v>-0.636363636363636</v>
      </c>
    </row>
    <row r="38" customFormat="false" ht="15.75" hidden="false" customHeight="true" outlineLevel="0" collapsed="false">
      <c r="A38" s="18" t="s">
        <v>83</v>
      </c>
      <c r="B38" s="19" t="n">
        <f aca="false">B30+SUM(B33:B37)</f>
        <v>1342.8</v>
      </c>
      <c r="C38" s="19" t="n">
        <f aca="false">C30+SUM(C33:C37)</f>
        <v>1478.9</v>
      </c>
      <c r="D38" s="19" t="n">
        <f aca="false">D30+SUM(D33:D37)</f>
        <v>1536.4</v>
      </c>
    </row>
    <row r="39" customFormat="false" ht="4.5" hidden="false" customHeight="true" outlineLevel="0" collapsed="false"/>
    <row r="40" customFormat="false" ht="18" hidden="false" customHeight="true" outlineLevel="0" collapsed="false">
      <c r="A40" s="9" t="s">
        <v>84</v>
      </c>
      <c r="B40" s="9"/>
      <c r="C40" s="9"/>
      <c r="D40" s="9"/>
      <c r="E40" s="9"/>
      <c r="F40" s="9"/>
      <c r="G40" s="10"/>
    </row>
    <row r="41" customFormat="false" ht="15.75" hidden="false" customHeight="true" outlineLevel="0" collapsed="false">
      <c r="A41" s="11" t="s">
        <v>85</v>
      </c>
      <c r="B41" s="12" t="n">
        <v>0</v>
      </c>
      <c r="C41" s="12" t="n">
        <v>19.4</v>
      </c>
      <c r="D41" s="13" t="n">
        <v>24</v>
      </c>
      <c r="E41" s="13" t="n">
        <v>0.237113402061856</v>
      </c>
    </row>
    <row r="42" customFormat="false" ht="4.5" hidden="false" customHeight="true" outlineLevel="0" collapsed="false"/>
    <row r="43" customFormat="false" ht="18" hidden="false" customHeight="true" outlineLevel="0" collapsed="false">
      <c r="A43" s="9" t="s">
        <v>86</v>
      </c>
      <c r="B43" s="9"/>
      <c r="C43" s="9"/>
      <c r="D43" s="9"/>
      <c r="E43" s="9"/>
      <c r="F43" s="9"/>
      <c r="G43" s="10"/>
    </row>
    <row r="44" customFormat="false" ht="15.75" hidden="false" customHeight="true" outlineLevel="0" collapsed="false">
      <c r="A44" s="11" t="s">
        <v>87</v>
      </c>
      <c r="B44" s="12" t="n">
        <v>0.5</v>
      </c>
      <c r="C44" s="12" t="n">
        <v>0.5</v>
      </c>
      <c r="D44" s="13" t="n">
        <v>0.5</v>
      </c>
      <c r="E44" s="13" t="n">
        <v>0</v>
      </c>
      <c r="F44" s="1" t="n">
        <v>0</v>
      </c>
    </row>
    <row r="45" customFormat="false" ht="15.75" hidden="false" customHeight="true" outlineLevel="0" collapsed="false">
      <c r="A45" s="11" t="s">
        <v>88</v>
      </c>
      <c r="B45" s="12" t="n">
        <v>601.8</v>
      </c>
      <c r="C45" s="12" t="n">
        <v>626.5</v>
      </c>
      <c r="D45" s="13" t="n">
        <v>658.1</v>
      </c>
      <c r="E45" s="13" t="n">
        <v>0.0410435360584913</v>
      </c>
      <c r="F45" s="1" t="n">
        <v>0.050438946528332</v>
      </c>
    </row>
    <row r="46" customFormat="false" ht="15.75" hidden="false" customHeight="true" outlineLevel="0" collapsed="false">
      <c r="A46" s="11" t="s">
        <v>89</v>
      </c>
      <c r="B46" s="12" t="n">
        <v>916.3</v>
      </c>
      <c r="C46" s="12" t="n">
        <v>1039.9</v>
      </c>
      <c r="D46" s="13" t="n">
        <v>1191.7</v>
      </c>
      <c r="E46" s="13" t="n">
        <v>0.13489031976427</v>
      </c>
      <c r="F46" s="1" t="n">
        <v>0.145975574574478</v>
      </c>
    </row>
    <row r="47" customFormat="false" ht="15.75" hidden="false" customHeight="true" outlineLevel="0" collapsed="false">
      <c r="A47" s="11" t="s">
        <v>90</v>
      </c>
      <c r="B47" s="12" t="n">
        <v>4.2</v>
      </c>
      <c r="C47" s="12" t="n">
        <v>-6.1</v>
      </c>
      <c r="D47" s="13" t="n">
        <v>-4.9</v>
      </c>
      <c r="E47" s="13" t="n">
        <v>-2.45238095238095</v>
      </c>
      <c r="F47" s="1" t="n">
        <v>0.19672131147541</v>
      </c>
    </row>
    <row r="48" customFormat="false" ht="15.75" hidden="false" customHeight="true" outlineLevel="0" collapsed="false">
      <c r="A48" s="11" t="s">
        <v>91</v>
      </c>
      <c r="B48" s="12" t="n">
        <v>-36.7</v>
      </c>
      <c r="C48" s="12" t="n">
        <v>-88.3</v>
      </c>
      <c r="D48" s="13" t="n">
        <v>-186.2</v>
      </c>
      <c r="E48" s="13" t="n">
        <v>-1.40599455040872</v>
      </c>
      <c r="F48" s="1" t="n">
        <v>-1.10872027180068</v>
      </c>
    </row>
    <row r="49" customFormat="false" ht="15.75" hidden="false" customHeight="true" outlineLevel="0" collapsed="false">
      <c r="A49" s="14" t="s">
        <v>92</v>
      </c>
      <c r="B49" s="15" t="n">
        <f aca="false">SUM(B44:B48)</f>
        <v>1486.1</v>
      </c>
      <c r="C49" s="15" t="n">
        <f aca="false">SUM(C44:C48)</f>
        <v>1572.5</v>
      </c>
      <c r="D49" s="15" t="n">
        <f aca="false">SUM(D44:D48)</f>
        <v>1659.2</v>
      </c>
    </row>
    <row r="50" customFormat="false" ht="15.75" hidden="false" customHeight="true" outlineLevel="0" collapsed="false">
      <c r="A50" s="18" t="s">
        <v>93</v>
      </c>
      <c r="B50" s="19" t="n">
        <f aca="false">B38+B41+B49</f>
        <v>2828.9</v>
      </c>
      <c r="C50" s="19" t="n">
        <f aca="false">C38+C41+C49</f>
        <v>3070.8</v>
      </c>
      <c r="D50" s="19" t="n">
        <f aca="false">D38+D41+D49</f>
        <v>3219.6</v>
      </c>
      <c r="G50" s="16" t="s">
        <v>94</v>
      </c>
    </row>
  </sheetData>
  <mergeCells count="8">
    <mergeCell ref="A1:F1"/>
    <mergeCell ref="A2:F2"/>
    <mergeCell ref="A5:F5"/>
    <mergeCell ref="A13:F13"/>
    <mergeCell ref="A22:F22"/>
    <mergeCell ref="A32:F32"/>
    <mergeCell ref="A40:F40"/>
    <mergeCell ref="A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3"/>
    <col collapsed="false" customWidth="true" hidden="false" outlineLevel="0" max="6" min="5" style="1" width="11"/>
    <col collapsed="false" customWidth="true" hidden="false" outlineLevel="0" max="7" min="7" style="1" width="55"/>
  </cols>
  <sheetData>
    <row r="1" customFormat="false" ht="27.75" hidden="false" customHeight="true" outlineLevel="0" collapsed="false">
      <c r="A1" s="2" t="s">
        <v>95</v>
      </c>
      <c r="B1" s="2"/>
      <c r="C1" s="2"/>
      <c r="D1" s="2"/>
      <c r="E1" s="2"/>
      <c r="F1" s="2"/>
      <c r="G1" s="3" t="s">
        <v>1</v>
      </c>
    </row>
    <row r="2" customFormat="false" ht="13.5" hidden="false" customHeight="true" outlineLevel="0" collapsed="false">
      <c r="A2" s="4" t="s">
        <v>96</v>
      </c>
      <c r="B2" s="4"/>
      <c r="C2" s="4"/>
      <c r="D2" s="4"/>
      <c r="E2" s="4"/>
      <c r="F2" s="4"/>
    </row>
    <row r="3" customFormat="false" ht="25.5" hidden="false" customHeight="true" outlineLevel="0" collapsed="false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customFormat="false" ht="19.5" hidden="false" customHeight="true" outlineLevel="0" collapsed="false">
      <c r="A4" s="7"/>
      <c r="B4" s="8" t="s">
        <v>9</v>
      </c>
      <c r="C4" s="8" t="s">
        <v>10</v>
      </c>
      <c r="D4" s="8" t="s">
        <v>11</v>
      </c>
      <c r="E4" s="8" t="s">
        <v>12</v>
      </c>
      <c r="F4" s="8" t="s">
        <v>12</v>
      </c>
      <c r="G4" s="8" t="s">
        <v>13</v>
      </c>
    </row>
    <row r="5" customFormat="false" ht="18" hidden="false" customHeight="true" outlineLevel="0" collapsed="false">
      <c r="A5" s="9" t="s">
        <v>97</v>
      </c>
      <c r="B5" s="9"/>
      <c r="C5" s="9"/>
      <c r="D5" s="9"/>
      <c r="E5" s="9"/>
      <c r="F5" s="9"/>
      <c r="G5" s="10"/>
    </row>
    <row r="6" customFormat="false" ht="15.75" hidden="false" customHeight="true" outlineLevel="0" collapsed="false">
      <c r="A6" s="11" t="s">
        <v>98</v>
      </c>
      <c r="B6" s="12" t="n">
        <v>173.4</v>
      </c>
      <c r="C6" s="12" t="n">
        <v>124.4</v>
      </c>
      <c r="D6" s="13" t="n">
        <v>157.4</v>
      </c>
      <c r="E6" s="13" t="n">
        <v>-0.282583621683968</v>
      </c>
      <c r="F6" s="1" t="n">
        <v>0.265273311897106</v>
      </c>
      <c r="G6" s="16" t="s">
        <v>99</v>
      </c>
    </row>
    <row r="7" customFormat="false" ht="18" hidden="false" customHeight="true" outlineLevel="0" collapsed="false">
      <c r="A7" s="9" t="s">
        <v>100</v>
      </c>
      <c r="B7" s="9"/>
      <c r="C7" s="9"/>
      <c r="D7" s="9"/>
      <c r="E7" s="9"/>
      <c r="F7" s="9"/>
      <c r="G7" s="10"/>
    </row>
    <row r="8" customFormat="false" ht="15.75" hidden="false" customHeight="true" outlineLevel="0" collapsed="false">
      <c r="A8" s="11" t="s">
        <v>101</v>
      </c>
      <c r="B8" s="12" t="n">
        <v>64.1</v>
      </c>
      <c r="C8" s="12" t="n">
        <v>75.3</v>
      </c>
      <c r="D8" s="13" t="n">
        <v>80.7</v>
      </c>
      <c r="E8" s="13" t="n">
        <v>0.174726989079563</v>
      </c>
      <c r="F8" s="1" t="n">
        <v>0.0717131474103586</v>
      </c>
    </row>
    <row r="9" customFormat="false" ht="15.75" hidden="false" customHeight="true" outlineLevel="0" collapsed="false">
      <c r="A9" s="11" t="s">
        <v>102</v>
      </c>
      <c r="B9" s="12" t="n">
        <v>25.7</v>
      </c>
      <c r="C9" s="12" t="n">
        <v>25</v>
      </c>
      <c r="D9" s="13" t="n">
        <v>27</v>
      </c>
      <c r="E9" s="13" t="n">
        <v>-0.0272373540856031</v>
      </c>
      <c r="F9" s="1" t="n">
        <v>0.08</v>
      </c>
    </row>
    <row r="10" customFormat="false" ht="15.75" hidden="false" customHeight="true" outlineLevel="0" collapsed="false">
      <c r="A10" s="11" t="s">
        <v>103</v>
      </c>
      <c r="B10" s="12" t="n">
        <v>63.6</v>
      </c>
      <c r="C10" s="12" t="n">
        <v>63.7</v>
      </c>
      <c r="D10" s="13" t="n">
        <v>60.1</v>
      </c>
      <c r="E10" s="13" t="n">
        <v>0.00157232704402518</v>
      </c>
      <c r="F10" s="1" t="n">
        <v>-0.0565149136577708</v>
      </c>
    </row>
    <row r="11" customFormat="false" ht="15.75" hidden="false" customHeight="true" outlineLevel="0" collapsed="false">
      <c r="A11" s="11" t="s">
        <v>104</v>
      </c>
      <c r="B11" s="12" t="n">
        <v>1.2</v>
      </c>
      <c r="C11" s="12" t="n">
        <v>1.3</v>
      </c>
      <c r="D11" s="13" t="n">
        <v>1.2</v>
      </c>
      <c r="E11" s="13" t="n">
        <v>0.0833333333333334</v>
      </c>
      <c r="F11" s="1" t="n">
        <v>-0.076923076923077</v>
      </c>
    </row>
    <row r="12" customFormat="false" ht="15.75" hidden="false" customHeight="true" outlineLevel="0" collapsed="false">
      <c r="A12" s="11" t="s">
        <v>105</v>
      </c>
      <c r="B12" s="12" t="n">
        <v>0</v>
      </c>
      <c r="C12" s="12" t="n">
        <v>1.8</v>
      </c>
      <c r="D12" s="13" t="n">
        <v>0</v>
      </c>
      <c r="E12" s="13" t="n">
        <v>-1</v>
      </c>
    </row>
    <row r="13" customFormat="false" ht="15.75" hidden="false" customHeight="true" outlineLevel="0" collapsed="false">
      <c r="A13" s="11" t="s">
        <v>106</v>
      </c>
      <c r="B13" s="12" t="n">
        <v>-0.5</v>
      </c>
      <c r="C13" s="12" t="n">
        <v>0.5</v>
      </c>
      <c r="D13" s="13" t="n">
        <v>-0.3</v>
      </c>
      <c r="E13" s="13" t="n">
        <v>2</v>
      </c>
      <c r="F13" s="1" t="n">
        <v>-1.6</v>
      </c>
    </row>
    <row r="14" customFormat="false" ht="15.75" hidden="false" customHeight="true" outlineLevel="0" collapsed="false">
      <c r="A14" s="11" t="s">
        <v>107</v>
      </c>
      <c r="B14" s="12" t="n">
        <v>-14.5</v>
      </c>
      <c r="C14" s="12" t="n">
        <v>-11</v>
      </c>
      <c r="D14" s="13" t="n">
        <v>3.8</v>
      </c>
      <c r="E14" s="13" t="n">
        <v>0.241379310344828</v>
      </c>
      <c r="F14" s="1" t="n">
        <v>1.34545454545455</v>
      </c>
    </row>
    <row r="15" customFormat="false" ht="15.75" hidden="false" customHeight="true" outlineLevel="0" collapsed="false">
      <c r="A15" s="11" t="s">
        <v>108</v>
      </c>
      <c r="B15" s="12" t="n">
        <v>-5.6</v>
      </c>
      <c r="C15" s="12" t="n">
        <v>0.9</v>
      </c>
      <c r="D15" s="13" t="n">
        <v>-3</v>
      </c>
      <c r="E15" s="13" t="n">
        <v>1.16071428571429</v>
      </c>
      <c r="F15" s="1" t="n">
        <v>-4.33333333333333</v>
      </c>
    </row>
    <row r="16" customFormat="false" ht="18" hidden="false" customHeight="true" outlineLevel="0" collapsed="false">
      <c r="A16" s="9" t="s">
        <v>109</v>
      </c>
      <c r="B16" s="9"/>
      <c r="C16" s="9"/>
      <c r="D16" s="9"/>
      <c r="E16" s="9"/>
      <c r="F16" s="9"/>
      <c r="G16" s="10"/>
    </row>
    <row r="17" customFormat="false" ht="15.75" hidden="false" customHeight="true" outlineLevel="0" collapsed="false">
      <c r="A17" s="11" t="s">
        <v>110</v>
      </c>
      <c r="B17" s="12" t="n">
        <v>-17.4</v>
      </c>
      <c r="C17" s="12" t="n">
        <v>-41.6</v>
      </c>
      <c r="D17" s="13" t="n">
        <v>3.6</v>
      </c>
      <c r="E17" s="13" t="n">
        <v>-1.39080459770115</v>
      </c>
      <c r="F17" s="1" t="n">
        <v>1.08653846153846</v>
      </c>
    </row>
    <row r="18" customFormat="false" ht="15.75" hidden="false" customHeight="true" outlineLevel="0" collapsed="false">
      <c r="A18" s="11" t="s">
        <v>111</v>
      </c>
      <c r="B18" s="12" t="n">
        <v>38.1</v>
      </c>
      <c r="C18" s="12" t="n">
        <v>19</v>
      </c>
      <c r="D18" s="13" t="n">
        <v>-42.8</v>
      </c>
      <c r="E18" s="13" t="n">
        <v>-0.501312335958005</v>
      </c>
      <c r="F18" s="1" t="n">
        <v>-3.25263157894737</v>
      </c>
    </row>
    <row r="19" customFormat="false" ht="15.75" hidden="false" customHeight="true" outlineLevel="0" collapsed="false">
      <c r="A19" s="11" t="s">
        <v>112</v>
      </c>
      <c r="B19" s="12" t="n">
        <v>10.9</v>
      </c>
      <c r="C19" s="12" t="n">
        <v>-11.2</v>
      </c>
      <c r="D19" s="13" t="n">
        <v>-9.9</v>
      </c>
      <c r="E19" s="13" t="n">
        <v>-2.02752293577982</v>
      </c>
      <c r="F19" s="1" t="n">
        <v>0.116071428571429</v>
      </c>
    </row>
    <row r="20" customFormat="false" ht="15.75" hidden="false" customHeight="true" outlineLevel="0" collapsed="false">
      <c r="A20" s="11" t="s">
        <v>113</v>
      </c>
      <c r="B20" s="12" t="n">
        <v>-4.3</v>
      </c>
      <c r="C20" s="12" t="n">
        <v>2.1</v>
      </c>
      <c r="D20" s="13" t="n">
        <v>-6.2</v>
      </c>
      <c r="E20" s="13" t="n">
        <v>1.48837209302326</v>
      </c>
      <c r="F20" s="1" t="n">
        <v>-3.95238095238095</v>
      </c>
    </row>
    <row r="21" customFormat="false" ht="15.75" hidden="false" customHeight="true" outlineLevel="0" collapsed="false">
      <c r="A21" s="11" t="s">
        <v>114</v>
      </c>
      <c r="B21" s="12" t="n">
        <v>-35.1</v>
      </c>
      <c r="C21" s="12" t="n">
        <v>29.7</v>
      </c>
      <c r="D21" s="13" t="n">
        <v>-6.2</v>
      </c>
      <c r="E21" s="13" t="n">
        <v>1.84615384615385</v>
      </c>
      <c r="F21" s="1" t="n">
        <v>-1.20875420875421</v>
      </c>
    </row>
    <row r="22" customFormat="false" ht="15.75" hidden="false" customHeight="true" outlineLevel="0" collapsed="false">
      <c r="A22" s="11" t="s">
        <v>115</v>
      </c>
      <c r="B22" s="12" t="n">
        <v>7.9</v>
      </c>
      <c r="C22" s="12" t="n">
        <v>-8</v>
      </c>
      <c r="D22" s="13" t="n">
        <v>0</v>
      </c>
      <c r="E22" s="13" t="n">
        <v>-2.0126582278481</v>
      </c>
      <c r="F22" s="1" t="n">
        <v>1</v>
      </c>
    </row>
    <row r="23" customFormat="false" ht="15.75" hidden="false" customHeight="true" outlineLevel="0" collapsed="false">
      <c r="A23" s="11" t="s">
        <v>116</v>
      </c>
      <c r="B23" s="12" t="n">
        <v>-10</v>
      </c>
      <c r="C23" s="12" t="n">
        <v>11.5</v>
      </c>
      <c r="D23" s="13" t="n">
        <v>35.1</v>
      </c>
      <c r="E23" s="13" t="n">
        <v>2.15</v>
      </c>
      <c r="F23" s="1" t="n">
        <v>2.05217391304348</v>
      </c>
    </row>
    <row r="24" customFormat="false" ht="15.75" hidden="false" customHeight="true" outlineLevel="0" collapsed="false">
      <c r="A24" s="18" t="s">
        <v>117</v>
      </c>
      <c r="B24" s="19" t="n">
        <f aca="false">SUM(B6:B23)</f>
        <v>297.5</v>
      </c>
      <c r="C24" s="19" t="n">
        <f aca="false">SUM(C6:C23)</f>
        <v>283.4</v>
      </c>
      <c r="D24" s="19" t="n">
        <f aca="false">SUM(D6:D23)</f>
        <v>300.5</v>
      </c>
      <c r="G24" s="16" t="s">
        <v>118</v>
      </c>
    </row>
    <row r="25" customFormat="false" ht="4.5" hidden="false" customHeight="true" outlineLevel="0" collapsed="false"/>
    <row r="26" customFormat="false" ht="18" hidden="false" customHeight="true" outlineLevel="0" collapsed="false">
      <c r="A26" s="9" t="s">
        <v>119</v>
      </c>
      <c r="B26" s="9"/>
      <c r="C26" s="9"/>
      <c r="D26" s="9"/>
      <c r="E26" s="9"/>
      <c r="F26" s="9"/>
      <c r="G26" s="10"/>
    </row>
    <row r="27" customFormat="false" ht="15.75" hidden="false" customHeight="true" outlineLevel="0" collapsed="false">
      <c r="A27" s="11" t="s">
        <v>120</v>
      </c>
      <c r="B27" s="12" t="n">
        <v>-32.1</v>
      </c>
      <c r="C27" s="12" t="n">
        <v>-40.5</v>
      </c>
      <c r="D27" s="13" t="n">
        <v>-53.7</v>
      </c>
      <c r="E27" s="13" t="n">
        <v>-0.261682242990654</v>
      </c>
      <c r="F27" s="1" t="n">
        <v>-0.325925925925926</v>
      </c>
    </row>
    <row r="28" customFormat="false" ht="15.75" hidden="false" customHeight="true" outlineLevel="0" collapsed="false">
      <c r="A28" s="11" t="s">
        <v>121</v>
      </c>
      <c r="B28" s="12" t="n">
        <v>-3.9</v>
      </c>
      <c r="C28" s="12" t="n">
        <v>-4.3</v>
      </c>
      <c r="D28" s="13" t="n">
        <v>-1.4</v>
      </c>
      <c r="E28" s="13" t="n">
        <v>-0.102564102564103</v>
      </c>
      <c r="F28" s="1" t="n">
        <v>0.674418604651163</v>
      </c>
    </row>
    <row r="29" customFormat="false" ht="15.75" hidden="false" customHeight="true" outlineLevel="0" collapsed="false">
      <c r="A29" s="11" t="s">
        <v>122</v>
      </c>
      <c r="B29" s="12" t="n">
        <v>-192.7</v>
      </c>
      <c r="C29" s="12" t="n">
        <v>-138.2</v>
      </c>
      <c r="D29" s="13" t="n">
        <v>-37.9</v>
      </c>
      <c r="E29" s="13" t="n">
        <v>0.282823040996367</v>
      </c>
      <c r="F29" s="1" t="n">
        <v>0.72575976845152</v>
      </c>
    </row>
    <row r="30" customFormat="false" ht="15.75" hidden="false" customHeight="true" outlineLevel="0" collapsed="false">
      <c r="A30" s="11" t="s">
        <v>123</v>
      </c>
      <c r="B30" s="12" t="n">
        <v>2.7</v>
      </c>
      <c r="C30" s="12" t="n">
        <v>5.9</v>
      </c>
      <c r="D30" s="13" t="n">
        <v>9.6</v>
      </c>
      <c r="E30" s="13" t="n">
        <v>1.18518518518519</v>
      </c>
      <c r="F30" s="1" t="n">
        <v>0.627118644067797</v>
      </c>
    </row>
    <row r="31" customFormat="false" ht="15.75" hidden="false" customHeight="true" outlineLevel="0" collapsed="false">
      <c r="A31" s="18" t="s">
        <v>124</v>
      </c>
      <c r="B31" s="19" t="n">
        <f aca="false">SUM(B27:B30)</f>
        <v>-226</v>
      </c>
      <c r="C31" s="19" t="n">
        <f aca="false">SUM(C27:C30)</f>
        <v>-177.1</v>
      </c>
      <c r="D31" s="19" t="n">
        <f aca="false">SUM(D27:D30)</f>
        <v>-83.4</v>
      </c>
      <c r="G31" s="16" t="s">
        <v>125</v>
      </c>
    </row>
    <row r="32" customFormat="false" ht="4.5" hidden="false" customHeight="true" outlineLevel="0" collapsed="false"/>
    <row r="33" customFormat="false" ht="18" hidden="false" customHeight="true" outlineLevel="0" collapsed="false">
      <c r="A33" s="9" t="s">
        <v>126</v>
      </c>
      <c r="B33" s="9"/>
      <c r="C33" s="9"/>
      <c r="D33" s="9"/>
      <c r="E33" s="9"/>
      <c r="F33" s="9"/>
      <c r="G33" s="10"/>
    </row>
    <row r="34" customFormat="false" ht="15.75" hidden="false" customHeight="true" outlineLevel="0" collapsed="false">
      <c r="A34" s="11" t="s">
        <v>127</v>
      </c>
      <c r="B34" s="12" t="n">
        <v>5.2</v>
      </c>
      <c r="C34" s="12" t="n">
        <v>5.6</v>
      </c>
      <c r="D34" s="13" t="n">
        <v>9.7</v>
      </c>
      <c r="E34" s="13" t="n">
        <v>0.0769230769230768</v>
      </c>
      <c r="F34" s="1" t="n">
        <v>0.732142857142857</v>
      </c>
      <c r="G34" s="16" t="s">
        <v>128</v>
      </c>
    </row>
    <row r="35" customFormat="false" ht="15.75" hidden="false" customHeight="true" outlineLevel="0" collapsed="false">
      <c r="A35" s="11" t="s">
        <v>129</v>
      </c>
      <c r="B35" s="12" t="n">
        <v>-12</v>
      </c>
      <c r="C35" s="12" t="n">
        <v>-51.3</v>
      </c>
      <c r="D35" s="13" t="n">
        <v>-98.3</v>
      </c>
      <c r="E35" s="13" t="n">
        <v>-3.275</v>
      </c>
      <c r="F35" s="1" t="n">
        <v>-0.916179337231969</v>
      </c>
    </row>
    <row r="36" customFormat="false" ht="15.75" hidden="false" customHeight="true" outlineLevel="0" collapsed="false">
      <c r="A36" s="11" t="s">
        <v>130</v>
      </c>
      <c r="B36" s="12" t="n">
        <v>0</v>
      </c>
      <c r="C36" s="12" t="n">
        <v>0</v>
      </c>
      <c r="D36" s="13" t="n">
        <v>-1</v>
      </c>
      <c r="E36" s="13"/>
    </row>
    <row r="37" customFormat="false" ht="15.75" hidden="false" customHeight="true" outlineLevel="0" collapsed="false">
      <c r="A37" s="11" t="s">
        <v>131</v>
      </c>
      <c r="B37" s="12" t="n">
        <v>120</v>
      </c>
      <c r="C37" s="12" t="n">
        <v>220.1</v>
      </c>
      <c r="D37" s="13" t="n">
        <v>0</v>
      </c>
      <c r="E37" s="13" t="n">
        <v>0.834166666666667</v>
      </c>
      <c r="F37" s="1" t="n">
        <v>-1</v>
      </c>
      <c r="G37" s="16" t="s">
        <v>132</v>
      </c>
    </row>
    <row r="38" customFormat="false" ht="15.75" hidden="false" customHeight="true" outlineLevel="0" collapsed="false">
      <c r="A38" s="11" t="s">
        <v>133</v>
      </c>
      <c r="B38" s="12" t="n">
        <v>-3.2</v>
      </c>
      <c r="C38" s="12" t="n">
        <v>-197</v>
      </c>
      <c r="D38" s="13" t="n">
        <v>-3.9</v>
      </c>
      <c r="E38" s="13" t="n">
        <v>-60.5625</v>
      </c>
      <c r="F38" s="1" t="n">
        <v>0.980203045685279</v>
      </c>
      <c r="G38" s="16" t="s">
        <v>132</v>
      </c>
    </row>
    <row r="39" customFormat="false" ht="15.75" hidden="false" customHeight="true" outlineLevel="0" collapsed="false">
      <c r="A39" s="11" t="s">
        <v>134</v>
      </c>
      <c r="B39" s="12" t="n">
        <v>434.3</v>
      </c>
      <c r="C39" s="12" t="n">
        <v>381.9</v>
      </c>
      <c r="D39" s="13" t="n">
        <v>320.6</v>
      </c>
      <c r="E39" s="13" t="n">
        <v>-0.120653925857702</v>
      </c>
      <c r="F39" s="1" t="n">
        <v>-0.1605132233569</v>
      </c>
      <c r="G39" s="16" t="s">
        <v>135</v>
      </c>
    </row>
    <row r="40" customFormat="false" ht="15.75" hidden="false" customHeight="true" outlineLevel="0" collapsed="false">
      <c r="A40" s="11" t="s">
        <v>136</v>
      </c>
      <c r="B40" s="12" t="n">
        <v>-526.8</v>
      </c>
      <c r="C40" s="12" t="n">
        <v>-398.3</v>
      </c>
      <c r="D40" s="13" t="n">
        <v>-320.2</v>
      </c>
      <c r="E40" s="13" t="n">
        <v>0.243925588458618</v>
      </c>
      <c r="F40" s="1" t="n">
        <v>0.196083354255586</v>
      </c>
      <c r="G40" s="16" t="s">
        <v>135</v>
      </c>
    </row>
    <row r="41" customFormat="false" ht="15.75" hidden="false" customHeight="true" outlineLevel="0" collapsed="false">
      <c r="A41" s="11" t="s">
        <v>137</v>
      </c>
      <c r="B41" s="12" t="n">
        <v>-1.8</v>
      </c>
      <c r="C41" s="12" t="n">
        <v>-2.2</v>
      </c>
      <c r="D41" s="13" t="n">
        <v>0</v>
      </c>
      <c r="E41" s="13" t="n">
        <v>-0.222222222222222</v>
      </c>
      <c r="F41" s="1" t="n">
        <v>1</v>
      </c>
    </row>
    <row r="42" customFormat="false" ht="15.75" hidden="false" customHeight="true" outlineLevel="0" collapsed="false">
      <c r="A42" s="11" t="s">
        <v>138</v>
      </c>
      <c r="B42" s="12" t="n">
        <v>-18.5</v>
      </c>
      <c r="C42" s="12" t="n">
        <v>-26.7</v>
      </c>
      <c r="D42" s="13" t="n">
        <v>-32.5</v>
      </c>
      <c r="E42" s="13" t="n">
        <v>-0.443243243243243</v>
      </c>
      <c r="F42" s="1" t="n">
        <v>-0.217228464419476</v>
      </c>
    </row>
    <row r="43" customFormat="false" ht="15.75" hidden="false" customHeight="true" outlineLevel="0" collapsed="false">
      <c r="A43" s="11" t="s">
        <v>139</v>
      </c>
      <c r="B43" s="12" t="n">
        <v>-8</v>
      </c>
      <c r="C43" s="12" t="n">
        <v>-5.6</v>
      </c>
      <c r="D43" s="13" t="n">
        <v>-3.8</v>
      </c>
      <c r="E43" s="13" t="n">
        <v>0.3</v>
      </c>
      <c r="F43" s="1" t="n">
        <v>0.321428571428571</v>
      </c>
    </row>
    <row r="44" customFormat="false" ht="15.75" hidden="false" customHeight="true" outlineLevel="0" collapsed="false">
      <c r="A44" s="11" t="s">
        <v>140</v>
      </c>
      <c r="B44" s="12" t="n">
        <v>-7.5</v>
      </c>
      <c r="C44" s="12" t="n">
        <v>-7.4</v>
      </c>
      <c r="D44" s="13" t="n">
        <v>-5.2</v>
      </c>
      <c r="E44" s="13" t="n">
        <v>0.0133333333333333</v>
      </c>
      <c r="F44" s="1" t="n">
        <v>0.297297297297297</v>
      </c>
      <c r="G44" s="16" t="s">
        <v>141</v>
      </c>
    </row>
    <row r="45" customFormat="false" ht="15.75" hidden="false" customHeight="true" outlineLevel="0" collapsed="false">
      <c r="A45" s="18" t="s">
        <v>142</v>
      </c>
      <c r="B45" s="19" t="n">
        <f aca="false">SUM(B34:B44)</f>
        <v>-18.2999999999999</v>
      </c>
      <c r="C45" s="19" t="n">
        <f aca="false">SUM(C34:C44)</f>
        <v>-80.9</v>
      </c>
      <c r="D45" s="19" t="n">
        <f aca="false">SUM(D34:D44)</f>
        <v>-134.6</v>
      </c>
      <c r="G45" s="16" t="s">
        <v>143</v>
      </c>
    </row>
    <row r="46" customFormat="false" ht="4.5" hidden="false" customHeight="true" outlineLevel="0" collapsed="false"/>
    <row r="47" customFormat="false" ht="18" hidden="false" customHeight="true" outlineLevel="0" collapsed="false">
      <c r="A47" s="9" t="s">
        <v>144</v>
      </c>
      <c r="B47" s="9"/>
      <c r="C47" s="9"/>
      <c r="D47" s="9"/>
      <c r="E47" s="9"/>
      <c r="F47" s="9"/>
      <c r="G47" s="10"/>
    </row>
    <row r="48" customFormat="false" ht="15.75" hidden="false" customHeight="true" outlineLevel="0" collapsed="false">
      <c r="A48" s="11" t="s">
        <v>145</v>
      </c>
      <c r="B48" s="12" t="n">
        <v>0.2</v>
      </c>
      <c r="C48" s="12" t="n">
        <v>-0.8</v>
      </c>
      <c r="D48" s="13" t="n">
        <v>1</v>
      </c>
      <c r="E48" s="13" t="n">
        <v>-5</v>
      </c>
      <c r="F48" s="1" t="n">
        <v>2.25</v>
      </c>
      <c r="G48" s="16" t="s">
        <v>146</v>
      </c>
    </row>
    <row r="49" customFormat="false" ht="15.75" hidden="false" customHeight="true" outlineLevel="0" collapsed="false">
      <c r="A49" s="14" t="s">
        <v>147</v>
      </c>
      <c r="B49" s="15" t="n">
        <f aca="false">B24+B31+B45+B48</f>
        <v>53.4000000000001</v>
      </c>
      <c r="C49" s="15" t="n">
        <f aca="false">C24+C31+C45+C48</f>
        <v>24.5999999999999</v>
      </c>
      <c r="D49" s="15" t="n">
        <f aca="false">D24+D31+D45+D48</f>
        <v>83.5</v>
      </c>
      <c r="G49" s="16" t="s">
        <v>148</v>
      </c>
    </row>
    <row r="50" customFormat="false" ht="15.75" hidden="false" customHeight="true" outlineLevel="0" collapsed="false">
      <c r="A50" s="11" t="s">
        <v>149</v>
      </c>
      <c r="B50" s="12" t="n">
        <v>29.1</v>
      </c>
      <c r="C50" s="12" t="n">
        <v>82.5</v>
      </c>
      <c r="D50" s="13" t="n">
        <v>107.1</v>
      </c>
      <c r="E50" s="13" t="n">
        <v>1.83505154639175</v>
      </c>
      <c r="F50" s="1" t="n">
        <v>0.298181818181818</v>
      </c>
      <c r="G50" s="16" t="s">
        <v>150</v>
      </c>
    </row>
    <row r="51" customFormat="false" ht="15.75" hidden="false" customHeight="true" outlineLevel="0" collapsed="false">
      <c r="A51" s="18" t="s">
        <v>151</v>
      </c>
      <c r="B51" s="19" t="n">
        <f aca="false">B49+B50</f>
        <v>82.5000000000001</v>
      </c>
      <c r="C51" s="19" t="n">
        <f aca="false">C49+C50</f>
        <v>107.1</v>
      </c>
      <c r="D51" s="19" t="n">
        <f aca="false">D49+D50</f>
        <v>190.6</v>
      </c>
      <c r="G51" s="16" t="s">
        <v>152</v>
      </c>
    </row>
    <row r="52" customFormat="false" ht="4.5" hidden="false" customHeight="true" outlineLevel="0" collapsed="false"/>
    <row r="53" customFormat="false" ht="18" hidden="false" customHeight="true" outlineLevel="0" collapsed="false">
      <c r="A53" s="9" t="s">
        <v>153</v>
      </c>
      <c r="B53" s="9"/>
      <c r="C53" s="9"/>
      <c r="D53" s="9"/>
      <c r="E53" s="9"/>
      <c r="F53" s="9"/>
      <c r="G53" s="10"/>
    </row>
    <row r="54" customFormat="false" ht="15.75" hidden="false" customHeight="true" outlineLevel="0" collapsed="false">
      <c r="A54" s="11" t="s">
        <v>154</v>
      </c>
      <c r="B54" s="12" t="n">
        <v>26.8</v>
      </c>
      <c r="C54" s="12" t="n">
        <v>29.8</v>
      </c>
      <c r="D54" s="13" t="n">
        <v>34.7</v>
      </c>
      <c r="E54" s="13" t="n">
        <v>0.111940298507463</v>
      </c>
      <c r="F54" s="1" t="n">
        <v>0.164429530201342</v>
      </c>
    </row>
    <row r="55" customFormat="false" ht="15.75" hidden="false" customHeight="true" outlineLevel="0" collapsed="false">
      <c r="A55" s="11" t="s">
        <v>155</v>
      </c>
      <c r="B55" s="12" t="n">
        <v>46</v>
      </c>
      <c r="C55" s="12" t="n">
        <v>57.6</v>
      </c>
      <c r="D55" s="13" t="n">
        <v>37.7</v>
      </c>
      <c r="E55" s="13" t="n">
        <v>0.252173913043478</v>
      </c>
      <c r="F55" s="1" t="n">
        <v>-0.345486111111111</v>
      </c>
    </row>
  </sheetData>
  <mergeCells count="9">
    <mergeCell ref="A1:F1"/>
    <mergeCell ref="A2:F2"/>
    <mergeCell ref="A5:F5"/>
    <mergeCell ref="A7:F7"/>
    <mergeCell ref="A16:F16"/>
    <mergeCell ref="A26:F26"/>
    <mergeCell ref="A33:F33"/>
    <mergeCell ref="A47:F47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2026-09-08T21:45:52Z</dcterms:created>
  <dc:creator>openpyxl</dc:creator>
  <dc:description/>
  <dc:language>en-US</dc:language>
  <cp:lastModifiedBy/>
  <dcterms:modified xsi:type="dcterms:W3CDTF">2026-09-08T21:58:59Z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